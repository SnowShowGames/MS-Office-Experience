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ga_Oleg\Downloads\"/>
    </mc:Choice>
  </mc:AlternateContent>
  <xr:revisionPtr revIDLastSave="0" documentId="13_ncr:1_{3E649A70-CE76-484A-BAAA-71FEB6A78794}" xr6:coauthVersionLast="47" xr6:coauthVersionMax="47" xr10:uidLastSave="{00000000-0000-0000-0000-000000000000}"/>
  <bookViews>
    <workbookView xWindow="-120" yWindow="-120" windowWidth="29040" windowHeight="15840" xr2:uid="{12943EFB-2D1A-4E64-8301-7727BF556C71}"/>
  </bookViews>
  <sheets>
    <sheet name="Игра" sheetId="1" r:id="rId1"/>
    <sheet name="Правила" sheetId="3" r:id="rId2"/>
    <sheet name="Рефл." sheetId="2" r:id="rId3"/>
    <sheet name="Словарь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G13" i="1"/>
  <c r="G12" i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M4" i="1"/>
  <c r="L4" i="1" s="1"/>
  <c r="M5" i="1"/>
  <c r="L5" i="1" s="1"/>
  <c r="M6" i="1"/>
  <c r="L6" i="1" s="1"/>
  <c r="M7" i="1"/>
  <c r="L7" i="1" s="1"/>
  <c r="M8" i="1"/>
  <c r="L8" i="1" s="1"/>
  <c r="M9" i="1"/>
  <c r="L9" i="1" s="1"/>
  <c r="M10" i="1"/>
  <c r="L10" i="1" s="1"/>
  <c r="M11" i="1"/>
  <c r="L11" i="1" s="1"/>
  <c r="M12" i="1"/>
  <c r="L12" i="1" s="1"/>
  <c r="M13" i="1"/>
  <c r="L13" i="1" s="1"/>
  <c r="M14" i="1"/>
  <c r="L14" i="1" s="1"/>
  <c r="M15" i="1"/>
  <c r="L15" i="1" s="1"/>
  <c r="Q3" i="1"/>
  <c r="P3" i="1" s="1"/>
  <c r="P16" i="1" s="1"/>
  <c r="E3" i="2" s="1"/>
  <c r="M3" i="1"/>
  <c r="L3" i="1" s="1"/>
  <c r="L16" i="1" s="1"/>
  <c r="C3" i="2" s="1"/>
  <c r="F5" i="1"/>
  <c r="G5" i="1"/>
  <c r="H5" i="1"/>
  <c r="I5" i="1"/>
  <c r="E5" i="1"/>
  <c r="D13" i="1" l="1"/>
  <c r="H12" i="1" s="1"/>
  <c r="H13" i="1"/>
  <c r="F3" i="2"/>
  <c r="D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Mega_Oleg</author>
  </authors>
  <commentList>
    <comment ref="A11" authorId="0" shapeId="0" xr:uid="{F65534A2-E87C-410F-9089-E2059F09CB7E}">
      <text>
        <r>
          <rPr>
            <b/>
            <sz val="9"/>
            <color indexed="81"/>
            <rFont val="Tahoma"/>
            <family val="2"/>
            <charset val="204"/>
          </rPr>
          <t>Введите слово из пяти букв.</t>
        </r>
      </text>
    </comment>
    <comment ref="D16" authorId="0" shapeId="0" xr:uid="{3966C0CE-B620-48CF-8608-50B1B66DD4D3}">
      <text>
        <r>
          <rPr>
            <sz val="9"/>
            <color indexed="81"/>
            <rFont val="Tahoma"/>
            <family val="2"/>
            <charset val="204"/>
          </rPr>
          <t>Поздравляем, вы победили!!!</t>
        </r>
      </text>
    </comment>
  </commentList>
</comments>
</file>

<file path=xl/sharedStrings.xml><?xml version="1.0" encoding="utf-8"?>
<sst xmlns="http://schemas.openxmlformats.org/spreadsheetml/2006/main" count="68" uniqueCount="56">
  <si>
    <t>Стартовое слово</t>
  </si>
  <si>
    <t>КОАЛА</t>
  </si>
  <si>
    <t>Правила игры «Королевский квадрат» (Балда)</t>
  </si>
  <si>
    <t>1. Цель игры: Составить как можно больше слов и набрать максимальное количество очков (1 буква = 1 очко).</t>
  </si>
  <si>
    <t>2. Ход игры: Игроки ходят по очереди. За один ход можно вписать ровно одну букву в пустую клетку.</t>
  </si>
  <si>
    <t>3. Размещение: Новая буква должна быть смежной по горизонтали или вертикали с уже заполненной клеткой (подсвечивается серым/желтым).</t>
  </si>
  <si>
    <t>4. Составление слов: Новое слово должно обязательно содержать только что поставленную букву. Слово читается по смежным клеткам (по вертикали и горизонтали под прямым углом, без диагоналей). Каждая клетка в одном слове используется не более одного раза.</t>
  </si>
  <si>
    <r>
      <t>5. Запреты:</t>
    </r>
    <r>
      <rPr>
        <sz val="11"/>
        <color theme="1"/>
        <rFont val="Calibri"/>
        <family val="2"/>
        <charset val="204"/>
        <scheme val="minor"/>
      </rPr>
      <t xml:space="preserve"> Нельзя использовать существительные не в начальной форме (только именительный падеж, единственное число), а также повторно называть уже составленные слова.</t>
    </r>
  </si>
  <si>
    <t>6. Финал: Игра завершается, когда все 25 клеток поля будут заполнены. Победитель определяется по сумме очков.</t>
  </si>
  <si>
    <t>Партия</t>
  </si>
  <si>
    <t>Игрок 1</t>
  </si>
  <si>
    <t>Очки Игрока 1</t>
  </si>
  <si>
    <t>Игрок 2</t>
  </si>
  <si>
    <t>Очки Игрока 2</t>
  </si>
  <si>
    <t>Победитель</t>
  </si>
  <si>
    <t>Петя</t>
  </si>
  <si>
    <t>Вася</t>
  </si>
  <si>
    <t>Правила</t>
  </si>
  <si>
    <t>Слова Игрока 1</t>
  </si>
  <si>
    <t>Очки</t>
  </si>
  <si>
    <t>Проверка</t>
  </si>
  <si>
    <t>Слова Игрока 2</t>
  </si>
  <si>
    <t>ЛАК</t>
  </si>
  <si>
    <t>КОЛ</t>
  </si>
  <si>
    <t>Счёт</t>
  </si>
  <si>
    <t>Назад</t>
  </si>
  <si>
    <t>КОН</t>
  </si>
  <si>
    <t>КОП</t>
  </si>
  <si>
    <t>КОПНА</t>
  </si>
  <si>
    <t>ПОНТ</t>
  </si>
  <si>
    <t>ТАНК</t>
  </si>
  <si>
    <t>КЛАН</t>
  </si>
  <si>
    <t>КЛАД</t>
  </si>
  <si>
    <t>ДАНЬ</t>
  </si>
  <si>
    <t>КЛАДЬ</t>
  </si>
  <si>
    <t>ПОНИ</t>
  </si>
  <si>
    <t>ТОЛК</t>
  </si>
  <si>
    <t>КЛОП</t>
  </si>
  <si>
    <t>НОТА</t>
  </si>
  <si>
    <t>ПОЛКА</t>
  </si>
  <si>
    <t>АКНЕ</t>
  </si>
  <si>
    <t>ТАНЕЦ</t>
  </si>
  <si>
    <t>ТИК</t>
  </si>
  <si>
    <t>АКИТ</t>
  </si>
  <si>
    <t>СЦЕНА</t>
  </si>
  <si>
    <t>ТРАП</t>
  </si>
  <si>
    <t>БАЛ</t>
  </si>
  <si>
    <t>БАД</t>
  </si>
  <si>
    <t>ЛАБ</t>
  </si>
  <si>
    <t>ЛАД</t>
  </si>
  <si>
    <t>ЛАДА</t>
  </si>
  <si>
    <t>ДАБА</t>
  </si>
  <si>
    <t>АБА</t>
  </si>
  <si>
    <t>АЛ</t>
  </si>
  <si>
    <t>Счёт Игрока 1</t>
  </si>
  <si>
    <t>Счёт Игрока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</si>
</sst>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6"/>
      <color theme="10"/>
      <name val="Calibri"/>
      <family val="2"/>
      <charset val="204"/>
      <scheme val="minor"/>
    </font>
    <font>
      <u/>
      <sz val="18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4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6" borderId="10" xfId="0" applyFill="1" applyBorder="1"/>
    <xf numFmtId="0" fontId="0" fillId="0" borderId="11" xfId="0" applyBorder="1"/>
    <xf numFmtId="0" fontId="0" fillId="0" borderId="12" xfId="0" applyBorder="1"/>
    <xf numFmtId="0" fontId="0" fillId="0" borderId="11" xfId="0" applyBorder="1" applyProtection="1">
      <protection locked="0"/>
    </xf>
    <xf numFmtId="0" fontId="5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4" fillId="9" borderId="1" xfId="0" applyFont="1" applyFill="1" applyBorder="1" applyProtection="1">
      <protection locked="0"/>
    </xf>
    <xf numFmtId="0" fontId="0" fillId="0" borderId="1" xfId="0" applyBorder="1"/>
    <xf numFmtId="0" fontId="0" fillId="10" borderId="10" xfId="0" applyFill="1" applyBorder="1"/>
    <xf numFmtId="0" fontId="0" fillId="10" borderId="11" xfId="0" applyFill="1" applyBorder="1"/>
    <xf numFmtId="0" fontId="0" fillId="10" borderId="12" xfId="0" applyFill="1" applyBorder="1"/>
    <xf numFmtId="0" fontId="2" fillId="0" borderId="1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3" fillId="5" borderId="1" xfId="1" applyFill="1" applyBorder="1" applyAlignment="1" applyProtection="1">
      <alignment horizontal="center" vertical="center"/>
      <protection locked="0"/>
    </xf>
    <xf numFmtId="0" fontId="3" fillId="7" borderId="1" xfId="1" applyFill="1" applyBorder="1" applyAlignment="1" applyProtection="1">
      <alignment horizontal="center" vertical="center"/>
      <protection locked="0"/>
    </xf>
  </cellXfs>
  <cellStyles count="2">
    <cellStyle name="Гиперссылка" xfId="1" builtinId="8"/>
    <cellStyle name="Обычны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Игра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0C-45F7-B36D-C2A5879F0BE4}"/>
              </c:ext>
            </c:extLst>
          </c:dPt>
          <c:cat>
            <c:multiLvlStrRef>
              <c:f>Игра!$F$12:$G$13</c:f>
              <c:multiLvlStrCache>
                <c:ptCount val="2"/>
                <c:lvl>
                  <c:pt idx="0">
                    <c:v>Вася</c:v>
                  </c:pt>
                  <c:pt idx="1">
                    <c:v>Петя</c:v>
                  </c:pt>
                </c:lvl>
                <c:lvl>
                  <c:pt idx="0">
                    <c:v>Игрок 1</c:v>
                  </c:pt>
                  <c:pt idx="1">
                    <c:v>Игрок 2</c:v>
                  </c:pt>
                </c:lvl>
              </c:multiLvlStrCache>
            </c:multiLvlStrRef>
          </c:cat>
          <c:val>
            <c:numRef>
              <c:f>Игра!$H$12:$H$13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C-45F7-B36D-C2A5879F0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794552"/>
        <c:axId val="716800672"/>
      </c:barChart>
      <c:catAx>
        <c:axId val="71679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800672"/>
        <c:crosses val="autoZero"/>
        <c:auto val="1"/>
        <c:lblAlgn val="ctr"/>
        <c:lblOffset val="100"/>
        <c:noMultiLvlLbl val="0"/>
      </c:catAx>
      <c:valAx>
        <c:axId val="716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794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7</xdr:row>
      <xdr:rowOff>133350</xdr:rowOff>
    </xdr:from>
    <xdr:to>
      <xdr:col>9</xdr:col>
      <xdr:colOff>542925</xdr:colOff>
      <xdr:row>18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FAA9EB-9DAA-2A3A-12FC-75EDFEC8F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B253-634C-45CC-89E3-69991F425A14}">
  <dimension ref="A2:Q16"/>
  <sheetViews>
    <sheetView tabSelected="1" workbookViewId="0">
      <selection activeCell="L22" sqref="L22"/>
    </sheetView>
  </sheetViews>
  <sheetFormatPr defaultRowHeight="15" x14ac:dyDescent="0.25"/>
  <cols>
    <col min="1" max="1" width="19.85546875" customWidth="1"/>
    <col min="3" max="3" width="14.42578125" customWidth="1"/>
    <col min="4" max="4" width="29.42578125" customWidth="1"/>
    <col min="5" max="5" width="11.7109375" customWidth="1"/>
    <col min="6" max="7" width="12.140625" customWidth="1"/>
    <col min="8" max="8" width="13" customWidth="1"/>
    <col min="9" max="9" width="12.7109375" customWidth="1"/>
    <col min="11" max="11" width="15.28515625" customWidth="1"/>
    <col min="13" max="13" width="16.7109375" customWidth="1"/>
    <col min="15" max="15" width="15.5703125" customWidth="1"/>
    <col min="17" max="17" width="17.85546875" customWidth="1"/>
  </cols>
  <sheetData>
    <row r="2" spans="1:17" ht="16.5" customHeight="1" x14ac:dyDescent="0.25">
      <c r="K2" s="14" t="s">
        <v>18</v>
      </c>
      <c r="L2" s="14" t="s">
        <v>19</v>
      </c>
      <c r="M2" s="14" t="s">
        <v>20</v>
      </c>
      <c r="O2" s="14" t="s">
        <v>21</v>
      </c>
      <c r="P2" s="14" t="s">
        <v>19</v>
      </c>
      <c r="Q2" s="14" t="s">
        <v>20</v>
      </c>
    </row>
    <row r="3" spans="1:17" ht="26.25" customHeight="1" x14ac:dyDescent="0.35">
      <c r="A3" s="33" t="s">
        <v>17</v>
      </c>
      <c r="E3" s="29"/>
      <c r="F3" s="29"/>
      <c r="G3" s="29"/>
      <c r="H3" s="29"/>
      <c r="I3" s="29"/>
      <c r="K3" s="17" t="s">
        <v>22</v>
      </c>
      <c r="L3" s="1">
        <f>IF(M3="✅ ОК", LEN(TRIM(K3)), 0)</f>
        <v>3</v>
      </c>
      <c r="M3" s="15" t="str">
        <f>IF(K3="", "", IF(K3=$A$11, "⚠️ Стартовое слово", IF((COUNTIF($K$3:$K$15, K3) + COUNTIF($O$3:$O$15, K3))&gt;1, "⚠️ Повтор слова", IF(ISERROR(MATCH(TRIM(K3), Словарь!$A:$A, 0)), "❌ Нет в словаре", "✅ ОК"))))</f>
        <v>✅ ОК</v>
      </c>
      <c r="O3" s="17" t="s">
        <v>32</v>
      </c>
      <c r="P3" s="15">
        <f>IF(Q3="✅ ОК", LEN(TRIM(O3)), 0)</f>
        <v>4</v>
      </c>
      <c r="Q3" s="15" t="str">
        <f>IF(O3="", "", IF(O3=$A$11, "⚠️ Стартовое слово", IF((COUNTIF($K$3:$K$15, O3) + COUNTIF($O$3:$O$15, O3))&gt;1, "⚠️ Повтор слова", IF(ISERROR(MATCH(TRIM(O3), Словарь!$A:$A, 0)), "❌ Нет в словаре", "✅ ОК"))))</f>
        <v>✅ ОК</v>
      </c>
    </row>
    <row r="4" spans="1:17" ht="25.5" customHeight="1" x14ac:dyDescent="0.35">
      <c r="A4" s="34" t="s">
        <v>24</v>
      </c>
      <c r="E4" s="29"/>
      <c r="F4" s="29"/>
      <c r="G4" s="29"/>
      <c r="H4" s="29"/>
      <c r="I4" s="29"/>
      <c r="K4" s="17"/>
      <c r="L4" s="1">
        <f>IF(M4="✅ ОК", LEN(TRIM(K4)), 0)</f>
        <v>0</v>
      </c>
      <c r="M4" s="15" t="str">
        <f>IF(K4="", "", IF(K4=$A$11, "⚠️ Стартовое слово", IF((COUNTIF($K$3:$K$15, K4) + COUNTIF($O$3:$O$15, K4))&gt;1, "⚠️ Повтор слова", IF(ISERROR(MATCH(TRIM(K4), Словарь!$A:$A, 0)), "❌ Нет в словаре", "✅ ОК"))))</f>
        <v/>
      </c>
      <c r="O4" s="17"/>
      <c r="P4" s="15">
        <f t="shared" ref="P4:P15" si="0">IF(Q4="✅ ОК", LEN(TRIM(O4)), 0)</f>
        <v>0</v>
      </c>
      <c r="Q4" s="15" t="str">
        <f>IF(O4="", "", IF(O4=$A$11, "⚠️ Стартовое слово", IF((COUNTIF($K$3:$K$15, O4) + COUNTIF($O$3:$O$15, O4))&gt;1, "⚠️ Повтор слова", IF(ISERROR(MATCH(TRIM(O4), Словарь!$A:$A, 0)), "❌ Нет в словаре", "✅ ОК"))))</f>
        <v/>
      </c>
    </row>
    <row r="5" spans="1:17" ht="23.25" customHeight="1" x14ac:dyDescent="0.35">
      <c r="E5" s="3" t="str">
        <f>MID($A$11,COLUMN(A1),1)</f>
        <v>К</v>
      </c>
      <c r="F5" s="3" t="str">
        <f t="shared" ref="F5:I5" si="1">MID($A$11,COLUMN(B1),1)</f>
        <v>О</v>
      </c>
      <c r="G5" s="3" t="str">
        <f t="shared" si="1"/>
        <v>А</v>
      </c>
      <c r="H5" s="3" t="str">
        <f t="shared" si="1"/>
        <v>Л</v>
      </c>
      <c r="I5" s="3" t="str">
        <f t="shared" si="1"/>
        <v>А</v>
      </c>
      <c r="K5" s="17"/>
      <c r="L5" s="1">
        <f t="shared" ref="L5:L14" si="2">IF(M5="✅ ОК", LEN(TRIM(K5)), 0)</f>
        <v>0</v>
      </c>
      <c r="M5" s="15" t="str">
        <f>IF(K5="", "", IF(K5=$A$11, "⚠️ Стартовое слово", IF((COUNTIF($K$3:$K$15, K5) + COUNTIF($O$3:$O$15, K5))&gt;1, "⚠️ Повтор слова", IF(ISERROR(MATCH(TRIM(K5), Словарь!$A:$A, 0)), "❌ Нет в словаре", "✅ ОК"))))</f>
        <v/>
      </c>
      <c r="O5" s="17"/>
      <c r="P5" s="15">
        <f t="shared" si="0"/>
        <v>0</v>
      </c>
      <c r="Q5" s="15" t="str">
        <f>IF(O5="", "", IF(O5=$A$11, "⚠️ Стартовое слово", IF((COUNTIF($K$3:$K$15, O5) + COUNTIF($O$3:$O$15, O5))&gt;1, "⚠️ Повтор слова", IF(ISERROR(MATCH(TRIM(O5), Словарь!$A:$A, 0)), "❌ Нет в словаре", "✅ ОК"))))</f>
        <v/>
      </c>
    </row>
    <row r="6" spans="1:17" ht="27" customHeight="1" x14ac:dyDescent="0.35">
      <c r="E6" s="29"/>
      <c r="F6" s="29"/>
      <c r="G6" s="29"/>
      <c r="H6" s="29"/>
      <c r="I6" s="29"/>
      <c r="K6" s="17"/>
      <c r="L6" s="1">
        <f t="shared" si="2"/>
        <v>0</v>
      </c>
      <c r="M6" s="15" t="str">
        <f>IF(K6="", "", IF(K6=$A$11, "⚠️ Стартовое слово", IF((COUNTIF($K$3:$K$15, K6) + COUNTIF($O$3:$O$15, K6))&gt;1, "⚠️ Повтор слова", IF(ISERROR(MATCH(TRIM(K6), Словарь!$A:$A, 0)), "❌ Нет в словаре", "✅ ОК"))))</f>
        <v/>
      </c>
      <c r="O6" s="17"/>
      <c r="P6" s="15">
        <f t="shared" si="0"/>
        <v>0</v>
      </c>
      <c r="Q6" s="15" t="str">
        <f>IF(O6="", "", IF(O6=$A$11, "⚠️ Стартовое слово", IF((COUNTIF($K$3:$K$15, O6) + COUNTIF($O$3:$O$15, O6))&gt;1, "⚠️ Повтор слова", IF(ISERROR(MATCH(TRIM(O6), Словарь!$A:$A, 0)), "❌ Нет в словаре", "✅ ОК"))))</f>
        <v/>
      </c>
    </row>
    <row r="7" spans="1:17" ht="30.75" customHeight="1" x14ac:dyDescent="0.35">
      <c r="E7" s="29"/>
      <c r="F7" s="29"/>
      <c r="G7" s="29"/>
      <c r="H7" s="29"/>
      <c r="I7" s="29"/>
      <c r="K7" s="17"/>
      <c r="L7" s="1">
        <f t="shared" si="2"/>
        <v>0</v>
      </c>
      <c r="M7" s="15" t="str">
        <f>IF(K7="", "", IF(K7=$A$11, "⚠️ Стартовое слово", IF((COUNTIF($K$3:$K$15, K7) + COUNTIF($O$3:$O$15, K7))&gt;1, "⚠️ Повтор слова", IF(ISERROR(MATCH(TRIM(K7), Словарь!$A:$A, 0)), "❌ Нет в словаре", "✅ ОК"))))</f>
        <v/>
      </c>
      <c r="O7" s="17"/>
      <c r="P7" s="15">
        <f t="shared" si="0"/>
        <v>0</v>
      </c>
      <c r="Q7" s="15" t="str">
        <f>IF(O7="", "", IF(O7=$A$11, "⚠️ Стартовое слово", IF((COUNTIF($K$3:$K$15, O7) + COUNTIF($O$3:$O$15, O7))&gt;1, "⚠️ Повтор слова", IF(ISERROR(MATCH(TRIM(O7), Словарь!$A:$A, 0)), "❌ Нет в словаре", "✅ ОК"))))</f>
        <v/>
      </c>
    </row>
    <row r="8" spans="1:17" x14ac:dyDescent="0.25">
      <c r="K8" s="17"/>
      <c r="L8" s="1">
        <f t="shared" si="2"/>
        <v>0</v>
      </c>
      <c r="M8" s="15" t="str">
        <f>IF(K8="", "", IF(K8=$A$11, "⚠️ Стартовое слово", IF((COUNTIF($K$3:$K$15, K8) + COUNTIF($O$3:$O$15, K8))&gt;1, "⚠️ Повтор слова", IF(ISERROR(MATCH(TRIM(K8), Словарь!$A:$A, 0)), "❌ Нет в словаре", "✅ ОК"))))</f>
        <v/>
      </c>
      <c r="O8" s="17"/>
      <c r="P8" s="15">
        <f t="shared" si="0"/>
        <v>0</v>
      </c>
      <c r="Q8" s="15" t="str">
        <f>IF(O8="", "", IF(O8=$A$11, "⚠️ Стартовое слово", IF((COUNTIF($K$3:$K$15, O8) + COUNTIF($O$3:$O$15, O8))&gt;1, "⚠️ Повтор слова", IF(ISERROR(MATCH(TRIM(O8), Словарь!$A:$A, 0)), "❌ Нет в словаре", "✅ ОК"))))</f>
        <v/>
      </c>
    </row>
    <row r="9" spans="1:17" x14ac:dyDescent="0.25">
      <c r="K9" s="17"/>
      <c r="L9" s="1">
        <f t="shared" si="2"/>
        <v>0</v>
      </c>
      <c r="M9" s="15" t="str">
        <f>IF(K9="", "", IF(K9=$A$11, "⚠️ Стартовое слово", IF((COUNTIF($K$3:$K$15, K9) + COUNTIF($O$3:$O$15, K9))&gt;1, "⚠️ Повтор слова", IF(ISERROR(MATCH(TRIM(K9), Словарь!$A:$A, 0)), "❌ Нет в словаре", "✅ ОК"))))</f>
        <v/>
      </c>
      <c r="O9" s="31"/>
      <c r="P9" s="15">
        <f t="shared" si="0"/>
        <v>0</v>
      </c>
      <c r="Q9" s="15" t="str">
        <f>IF(O9="", "", IF(O9=$A$11, "⚠️ Стартовое слово", IF((COUNTIF($K$3:$K$15, O9) + COUNTIF($O$3:$O$15, O9))&gt;1, "⚠️ Повтор слова", IF(ISERROR(MATCH(TRIM(O9), Словарь!$A:$A, 0)), "❌ Нет в словаре", "✅ ОК"))))</f>
        <v/>
      </c>
    </row>
    <row r="10" spans="1:17" ht="16.5" customHeight="1" x14ac:dyDescent="0.25">
      <c r="A10" s="2" t="s">
        <v>0</v>
      </c>
      <c r="K10" s="17"/>
      <c r="L10" s="1">
        <f t="shared" si="2"/>
        <v>0</v>
      </c>
      <c r="M10" s="15" t="str">
        <f>IF(K10="", "", IF(K10=$A$11, "⚠️ Стартовое слово", IF((COUNTIF($K$3:$K$15, K10) + COUNTIF($O$3:$O$15, K10))&gt;1, "⚠️ Повтор слова", IF(ISERROR(MATCH(TRIM(K10), Словарь!$A:$A, 0)), "❌ Нет в словаре", "✅ ОК"))))</f>
        <v/>
      </c>
      <c r="O10" s="31"/>
      <c r="P10" s="15">
        <f t="shared" si="0"/>
        <v>0</v>
      </c>
      <c r="Q10" s="15" t="str">
        <f>IF(O10="", "", IF(O10=$A$11, "⚠️ Стартовое слово", IF((COUNTIF($K$3:$K$15, O10) + COUNTIF($O$3:$O$15, O10))&gt;1, "⚠️ Повтор слова", IF(ISERROR(MATCH(TRIM(O10), Словарь!$A:$A, 0)), "❌ Нет в словаре", "✅ ОК"))))</f>
        <v/>
      </c>
    </row>
    <row r="11" spans="1:17" ht="33" customHeight="1" x14ac:dyDescent="0.3">
      <c r="A11" s="20" t="s">
        <v>1</v>
      </c>
      <c r="K11" s="17"/>
      <c r="L11" s="1">
        <f t="shared" si="2"/>
        <v>0</v>
      </c>
      <c r="M11" s="15" t="str">
        <f>IF(K11="", "", IF(K11=$A$11, "⚠️ Стартовое слово", IF((COUNTIF($K$3:$K$15, K11) + COUNTIF($O$3:$O$15, K11))&gt;1, "⚠️ Повтор слова", IF(ISERROR(MATCH(TRIM(K11), Словарь!$A:$A, 0)), "❌ Нет в словаре", "✅ ОК"))))</f>
        <v/>
      </c>
      <c r="O11" s="31"/>
      <c r="P11" s="15">
        <f t="shared" si="0"/>
        <v>0</v>
      </c>
      <c r="Q11" s="15" t="str">
        <f>IF(O11="", "", IF(O11=$A$11, "⚠️ Стартовое слово", IF((COUNTIF($K$3:$K$15, O11) + COUNTIF($O$3:$O$15, O11))&gt;1, "⚠️ Повтор слова", IF(ISERROR(MATCH(TRIM(O11), Словарь!$A:$A, 0)), "❌ Нет в словаре", "✅ ОК"))))</f>
        <v/>
      </c>
    </row>
    <row r="12" spans="1:17" ht="20.25" customHeight="1" x14ac:dyDescent="0.25">
      <c r="C12" s="22" t="s">
        <v>10</v>
      </c>
      <c r="D12" s="27" t="s">
        <v>16</v>
      </c>
      <c r="F12" t="s">
        <v>10</v>
      </c>
      <c r="G12" t="str">
        <f>D12</f>
        <v>Вася</v>
      </c>
      <c r="H12">
        <f>D13</f>
        <v>3</v>
      </c>
      <c r="K12" s="17"/>
      <c r="L12" s="1">
        <f t="shared" si="2"/>
        <v>0</v>
      </c>
      <c r="M12" s="15" t="str">
        <f>IF(K12="", "", IF(K12=$A$11, "⚠️ Стартовое слово", IF((COUNTIF($K$3:$K$15, K12) + COUNTIF($O$3:$O$15, K12))&gt;1, "⚠️ Повтор слова", IF(ISERROR(MATCH(TRIM(K12), Словарь!$A:$A, 0)), "❌ Нет в словаре", "✅ ОК"))))</f>
        <v/>
      </c>
      <c r="O12" s="31"/>
      <c r="P12" s="15">
        <f t="shared" si="0"/>
        <v>0</v>
      </c>
      <c r="Q12" s="15" t="str">
        <f>IF(O12="", "", IF(O12=$A$11, "⚠️ Стартовое слово", IF((COUNTIF($K$3:$K$15, O12) + COUNTIF($O$3:$O$15, O12))&gt;1, "⚠️ Повтор слова", IF(ISERROR(MATCH(TRIM(O12), Словарь!$A:$A, 0)), "❌ Нет в словаре", "✅ ОК"))))</f>
        <v/>
      </c>
    </row>
    <row r="13" spans="1:17" ht="21" customHeight="1" x14ac:dyDescent="0.25">
      <c r="C13" s="23" t="s">
        <v>54</v>
      </c>
      <c r="D13" s="25">
        <f>L16</f>
        <v>3</v>
      </c>
      <c r="F13" t="s">
        <v>12</v>
      </c>
      <c r="G13" t="str">
        <f>D14</f>
        <v>Петя</v>
      </c>
      <c r="H13">
        <f>D15</f>
        <v>4</v>
      </c>
      <c r="K13" s="17"/>
      <c r="L13" s="1">
        <f t="shared" si="2"/>
        <v>0</v>
      </c>
      <c r="M13" s="15" t="str">
        <f>IF(K13="", "", IF(K13=$A$11, "⚠️ Стартовое слово", IF((COUNTIF($K$3:$K$15, K13) + COUNTIF($O$3:$O$15, K13))&gt;1, "⚠️ Повтор слова", IF(ISERROR(MATCH(TRIM(K13), Словарь!$A:$A, 0)), "❌ Нет в словаре", "✅ ОК"))))</f>
        <v/>
      </c>
      <c r="O13" s="31"/>
      <c r="P13" s="15">
        <f t="shared" si="0"/>
        <v>0</v>
      </c>
      <c r="Q13" s="15" t="str">
        <f>IF(O13="", "", IF(O13=$A$11, "⚠️ Стартовое слово", IF((COUNTIF($K$3:$K$15, O13) + COUNTIF($O$3:$O$15, O13))&gt;1, "⚠️ Повтор слова", IF(ISERROR(MATCH(TRIM(O13), Словарь!$A:$A, 0)), "❌ Нет в словаре", "✅ ОК"))))</f>
        <v/>
      </c>
    </row>
    <row r="14" spans="1:17" ht="18.75" customHeight="1" x14ac:dyDescent="0.25">
      <c r="C14" s="23" t="s">
        <v>12</v>
      </c>
      <c r="D14" s="28" t="s">
        <v>15</v>
      </c>
      <c r="K14" s="17"/>
      <c r="L14" s="1">
        <f t="shared" si="2"/>
        <v>0</v>
      </c>
      <c r="M14" s="15" t="str">
        <f>IF(K14="", "", IF(K14=$A$11, "⚠️ Стартовое слово", IF((COUNTIF($K$3:$K$15, K14) + COUNTIF($O$3:$O$15, K14))&gt;1, "⚠️ Повтор слова", IF(ISERROR(MATCH(TRIM(K14), Словарь!$A:$A, 0)), "❌ Нет в словаре", "✅ ОК"))))</f>
        <v/>
      </c>
      <c r="O14" s="31"/>
      <c r="P14" s="15">
        <f t="shared" si="0"/>
        <v>0</v>
      </c>
      <c r="Q14" s="15" t="str">
        <f>IF(O14="", "", IF(O14=$A$11, "⚠️ Стартовое слово", IF((COUNTIF($K$3:$K$15, O14) + COUNTIF($O$3:$O$15, O14))&gt;1, "⚠️ Повтор слова", IF(ISERROR(MATCH(TRIM(O14), Словарь!$A:$A, 0)), "❌ Нет в словаре", "✅ ОК"))))</f>
        <v/>
      </c>
    </row>
    <row r="15" spans="1:17" ht="21.75" customHeight="1" x14ac:dyDescent="0.25">
      <c r="C15" s="23" t="s">
        <v>55</v>
      </c>
      <c r="D15" s="25">
        <f>P16</f>
        <v>4</v>
      </c>
      <c r="K15" s="30"/>
      <c r="L15" s="16">
        <f>IF(M15="✅ ОК", LEN(TRIM(K15)), 0)</f>
        <v>0</v>
      </c>
      <c r="M15" s="16" t="str">
        <f>IF(K15="", "", IF(K15=$A$11, "⚠️ Стартовое слово", IF((COUNTIF($K$3:$K$15, K15) + COUNTIF($O$3:$O$15, K15))&gt;1, "⚠️ Повтор слова", IF(ISERROR(MATCH(TRIM(K15), Словарь!$A:$A, 0)), "❌ Нет в словаре", "✅ ОК"))))</f>
        <v/>
      </c>
      <c r="O15" s="32"/>
      <c r="P15" s="16">
        <f t="shared" si="0"/>
        <v>0</v>
      </c>
      <c r="Q15" s="16" t="str">
        <f>IF(O15="", "", IF(O15=$A$11, "⚠️ Стартовое слово", IF((COUNTIF($K$3:$K$15, O15) + COUNTIF($O$3:$O$15, O15))&gt;1, "⚠️ Повтор слова", IF(ISERROR(MATCH(TRIM(O15), Словарь!$A:$A, 0)), "❌ Нет в словаре", "✅ ОК"))))</f>
        <v/>
      </c>
    </row>
    <row r="16" spans="1:17" ht="21" customHeight="1" x14ac:dyDescent="0.25">
      <c r="C16" s="24" t="s">
        <v>14</v>
      </c>
      <c r="D16" s="26" t="str">
        <f>IF(D13&gt;D15, D12, IF(D15&gt;D13, D14, "Ничья"))</f>
        <v>Петя</v>
      </c>
      <c r="L16" s="21">
        <f>SUM(L3:L15)</f>
        <v>3</v>
      </c>
      <c r="P16" s="21">
        <f>SUM(P3:P15)</f>
        <v>4</v>
      </c>
    </row>
  </sheetData>
  <sheetProtection selectLockedCells="1"/>
  <conditionalFormatting sqref="E3:I4 E6:I7">
    <cfRule type="notContainsBlanks" dxfId="0" priority="2">
      <formula>LEN(TRIM(E3))&gt;0</formula>
    </cfRule>
  </conditionalFormatting>
  <conditionalFormatting sqref="E3:I7">
    <cfRule type="expression" priority="1">
      <formula>AND(ISBLANK(E3), COUNT(E2,E4,D3,F3)&gt;0)</formula>
    </cfRule>
  </conditionalFormatting>
  <dataValidations count="2">
    <dataValidation type="textLength" operator="equal" allowBlank="1" showInputMessage="1" showErrorMessage="1" sqref="E3:I4 E6:I7" xr:uid="{37B049C2-7D96-47D2-8FC1-D730F80183EC}">
      <formula1>1</formula1>
    </dataValidation>
    <dataValidation type="textLength" operator="equal" allowBlank="1" showInputMessage="1" showErrorMessage="1" errorTitle="Ошибка" error="Начальное слово должно состоять из 5 букв!" sqref="A11" xr:uid="{21356493-610E-4951-AB90-27E0802580BA}">
      <formula1>5</formula1>
    </dataValidation>
  </dataValidations>
  <hyperlinks>
    <hyperlink ref="A3" location="Правила!A1" display="Правила" xr:uid="{20FD8185-634C-45C2-9C99-ED0C57CE1A73}"/>
    <hyperlink ref="A4" location="Рефл.!A1" display="Счёт" xr:uid="{680EA22E-8D47-44D3-A280-6ED0B8A64A53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CEDB-FCFF-417E-8CEE-A47327062CB5}">
  <dimension ref="A1:A12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x14ac:dyDescent="0.25">
      <c r="A1" s="4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s="4" t="s">
        <v>7</v>
      </c>
    </row>
    <row r="8" spans="1:1" x14ac:dyDescent="0.25">
      <c r="A8" t="s">
        <v>8</v>
      </c>
    </row>
    <row r="12" spans="1:1" ht="53.25" customHeight="1" x14ac:dyDescent="0.25">
      <c r="A12" s="18" t="s">
        <v>25</v>
      </c>
    </row>
  </sheetData>
  <hyperlinks>
    <hyperlink ref="A12" location="Игра!A1" display="Назад" xr:uid="{2F3CA137-855C-4374-8F21-731CCA3A81B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3525-7023-4194-ABF1-C31587F97DB4}">
  <dimension ref="A2:H30"/>
  <sheetViews>
    <sheetView workbookViewId="0">
      <selection activeCell="H17" sqref="H17"/>
    </sheetView>
  </sheetViews>
  <sheetFormatPr defaultRowHeight="15" x14ac:dyDescent="0.25"/>
  <cols>
    <col min="3" max="3" width="14.28515625" customWidth="1"/>
    <col min="5" max="5" width="14.42578125" customWidth="1"/>
    <col min="6" max="6" width="12.42578125" customWidth="1"/>
    <col min="8" max="8" width="24" customWidth="1"/>
  </cols>
  <sheetData>
    <row r="2" spans="1:6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</row>
    <row r="3" spans="1:6" x14ac:dyDescent="0.25">
      <c r="A3" s="11">
        <v>1</v>
      </c>
      <c r="B3" s="8" t="s">
        <v>15</v>
      </c>
      <c r="C3" s="8">
        <f>Игра!L16</f>
        <v>3</v>
      </c>
      <c r="D3" s="8" t="s">
        <v>16</v>
      </c>
      <c r="E3" s="8">
        <f>Игра!P16</f>
        <v>4</v>
      </c>
      <c r="F3" s="11" t="str">
        <f>IF(C3&gt;E3, B3, IF(E3&gt;C3, D3, "Ничья"))</f>
        <v>Вася</v>
      </c>
    </row>
    <row r="4" spans="1:6" x14ac:dyDescent="0.25">
      <c r="A4" s="12"/>
      <c r="B4" s="9"/>
      <c r="C4" s="9"/>
      <c r="D4" s="9"/>
      <c r="E4" s="9"/>
      <c r="F4" s="12"/>
    </row>
    <row r="5" spans="1:6" x14ac:dyDescent="0.25">
      <c r="A5" s="12"/>
      <c r="B5" s="9"/>
      <c r="C5" s="9"/>
      <c r="D5" s="9"/>
      <c r="E5" s="9"/>
      <c r="F5" s="12"/>
    </row>
    <row r="6" spans="1:6" x14ac:dyDescent="0.25">
      <c r="A6" s="12"/>
      <c r="B6" s="9"/>
      <c r="C6" s="9"/>
      <c r="D6" s="9"/>
      <c r="E6" s="9"/>
      <c r="F6" s="12"/>
    </row>
    <row r="7" spans="1:6" x14ac:dyDescent="0.25">
      <c r="A7" s="12"/>
      <c r="B7" s="9"/>
      <c r="C7" s="9"/>
      <c r="D7" s="9"/>
      <c r="E7" s="9"/>
      <c r="F7" s="12"/>
    </row>
    <row r="8" spans="1:6" x14ac:dyDescent="0.25">
      <c r="A8" s="12"/>
      <c r="B8" s="9"/>
      <c r="C8" s="9"/>
      <c r="D8" s="9"/>
      <c r="E8" s="9"/>
      <c r="F8" s="12"/>
    </row>
    <row r="9" spans="1:6" x14ac:dyDescent="0.25">
      <c r="A9" s="12"/>
      <c r="B9" s="9"/>
      <c r="C9" s="9"/>
      <c r="D9" s="9"/>
      <c r="E9" s="9"/>
      <c r="F9" s="12"/>
    </row>
    <row r="10" spans="1:6" x14ac:dyDescent="0.25">
      <c r="A10" s="12"/>
      <c r="B10" s="9"/>
      <c r="C10" s="9"/>
      <c r="D10" s="9"/>
      <c r="E10" s="9"/>
      <c r="F10" s="12"/>
    </row>
    <row r="11" spans="1:6" x14ac:dyDescent="0.25">
      <c r="A11" s="12"/>
      <c r="B11" s="9"/>
      <c r="C11" s="9"/>
      <c r="D11" s="9"/>
      <c r="E11" s="9"/>
      <c r="F11" s="12"/>
    </row>
    <row r="12" spans="1:6" x14ac:dyDescent="0.25">
      <c r="A12" s="13"/>
      <c r="B12" s="10"/>
      <c r="C12" s="10"/>
      <c r="D12" s="10"/>
      <c r="E12" s="10"/>
      <c r="F12" s="13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8" ht="62.25" customHeight="1" x14ac:dyDescent="0.25">
      <c r="A17" s="9"/>
      <c r="B17" s="9"/>
      <c r="C17" s="9"/>
      <c r="D17" s="9"/>
      <c r="E17" s="9"/>
      <c r="F17" s="9"/>
      <c r="H17" s="19" t="s">
        <v>25</v>
      </c>
    </row>
    <row r="18" spans="1:8" x14ac:dyDescent="0.25">
      <c r="A18" s="9"/>
      <c r="B18" s="9"/>
      <c r="C18" s="9"/>
      <c r="D18" s="9"/>
      <c r="E18" s="9"/>
      <c r="F18" s="9"/>
    </row>
    <row r="19" spans="1:8" x14ac:dyDescent="0.25">
      <c r="A19" s="9"/>
      <c r="B19" s="9"/>
      <c r="C19" s="9"/>
      <c r="D19" s="9"/>
      <c r="E19" s="9"/>
      <c r="F19" s="9"/>
    </row>
    <row r="20" spans="1:8" x14ac:dyDescent="0.25">
      <c r="A20" s="9"/>
      <c r="B20" s="9"/>
      <c r="C20" s="9"/>
      <c r="D20" s="9"/>
      <c r="E20" s="9"/>
      <c r="F20" s="9"/>
    </row>
    <row r="21" spans="1:8" x14ac:dyDescent="0.25">
      <c r="A21" s="9"/>
      <c r="B21" s="9"/>
      <c r="C21" s="9"/>
      <c r="D21" s="9"/>
      <c r="E21" s="9"/>
      <c r="F21" s="9"/>
    </row>
    <row r="22" spans="1:8" x14ac:dyDescent="0.25">
      <c r="A22" s="9"/>
      <c r="B22" s="9"/>
      <c r="C22" s="9"/>
      <c r="D22" s="9"/>
      <c r="E22" s="9"/>
      <c r="F22" s="9"/>
    </row>
    <row r="23" spans="1:8" x14ac:dyDescent="0.25">
      <c r="A23" s="9"/>
      <c r="B23" s="9"/>
      <c r="C23" s="9"/>
      <c r="D23" s="9"/>
      <c r="E23" s="9"/>
      <c r="F23" s="9"/>
    </row>
    <row r="24" spans="1:8" x14ac:dyDescent="0.25">
      <c r="A24" s="9"/>
      <c r="B24" s="9"/>
      <c r="C24" s="9"/>
      <c r="D24" s="9"/>
      <c r="E24" s="9"/>
      <c r="F24" s="9"/>
    </row>
    <row r="25" spans="1:8" x14ac:dyDescent="0.25">
      <c r="A25" s="9"/>
      <c r="B25" s="9"/>
      <c r="C25" s="9"/>
      <c r="D25" s="9"/>
      <c r="E25" s="9"/>
      <c r="F25" s="9"/>
    </row>
    <row r="26" spans="1:8" x14ac:dyDescent="0.25">
      <c r="A26" s="9"/>
      <c r="B26" s="9"/>
      <c r="C26" s="9"/>
      <c r="D26" s="9"/>
      <c r="E26" s="9"/>
      <c r="F26" s="9"/>
    </row>
    <row r="27" spans="1:8" x14ac:dyDescent="0.25">
      <c r="A27" s="9"/>
      <c r="B27" s="9"/>
      <c r="C27" s="9"/>
      <c r="D27" s="9"/>
      <c r="E27" s="9"/>
      <c r="F27" s="9"/>
    </row>
    <row r="28" spans="1:8" x14ac:dyDescent="0.25">
      <c r="A28" s="9"/>
      <c r="B28" s="9"/>
      <c r="C28" s="9"/>
      <c r="D28" s="9"/>
      <c r="E28" s="9"/>
      <c r="F28" s="9"/>
    </row>
    <row r="29" spans="1:8" x14ac:dyDescent="0.25">
      <c r="A29" s="9"/>
      <c r="B29" s="9"/>
      <c r="C29" s="9"/>
      <c r="D29" s="9"/>
      <c r="E29" s="9"/>
      <c r="F29" s="9"/>
    </row>
    <row r="30" spans="1:8" x14ac:dyDescent="0.25">
      <c r="A30" s="9"/>
      <c r="B30" s="9"/>
      <c r="C30" s="9"/>
      <c r="D30" s="9"/>
      <c r="E30" s="9"/>
      <c r="F30" s="9"/>
    </row>
  </sheetData>
  <hyperlinks>
    <hyperlink ref="H17" location="Игра!A1" display="Назад" xr:uid="{62EA49F4-BAB5-4E44-8537-2E84496BCB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72C8-ABFB-4921-9B0D-DCB32A2CF6BD}">
  <dimension ref="A1:A31"/>
  <sheetViews>
    <sheetView workbookViewId="0">
      <selection activeCell="C34" sqref="C34"/>
    </sheetView>
  </sheetViews>
  <sheetFormatPr defaultRowHeight="15" x14ac:dyDescent="0.25"/>
  <cols>
    <col min="1" max="1" width="41.28515625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Игра</vt:lpstr>
      <vt:lpstr>Правила</vt:lpstr>
      <vt:lpstr>Рефл.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Sinko</dc:creator>
  <cp:lastModifiedBy>Oleg Sinko</cp:lastModifiedBy>
  <dcterms:created xsi:type="dcterms:W3CDTF">2026-10-01T19:12:02Z</dcterms:created>
  <dcterms:modified xsi:type="dcterms:W3CDTF">2026-10-09T19:36:22Z</dcterms:modified>
</cp:coreProperties>
</file>